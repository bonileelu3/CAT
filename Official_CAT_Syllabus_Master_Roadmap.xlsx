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Weights" sheetId="1" state="visible" r:id="rId1"/>
    <sheet xmlns:r="http://schemas.openxmlformats.org/officeDocument/2006/relationships" name="Quantitative Aptitude" sheetId="2" state="visible" r:id="rId2"/>
    <sheet xmlns:r="http://schemas.openxmlformats.org/officeDocument/2006/relationships" name="DILR" sheetId="3" state="visible" r:id="rId3"/>
    <sheet xmlns:r="http://schemas.openxmlformats.org/officeDocument/2006/relationships" name="VAR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000000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4" fillId="3" borderId="1" pivotButton="0" quotePrefix="0" xfId="0"/>
    <xf numFmtId="0" fontId="2" fillId="4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2" customWidth="1" min="2" max="2"/>
    <col width="14" customWidth="1" min="3" max="3"/>
    <col width="64" customWidth="1" min="4" max="4"/>
  </cols>
  <sheetData>
    <row r="1"/>
    <row r="2">
      <c r="A2" s="1" t="inlineStr">
        <is>
          <t>Official CAT Exam Syllabus &amp; Roadmap</t>
        </is>
      </c>
    </row>
    <row r="3"/>
    <row r="4">
      <c r="A4" s="2" t="inlineStr">
        <is>
          <t>Section-wise Question and Marks Breakdown (Prescribed by IIMs):</t>
        </is>
      </c>
    </row>
    <row r="5"/>
    <row r="6">
      <c r="A6" s="3" t="inlineStr">
        <is>
          <t>Section Name</t>
        </is>
      </c>
      <c r="B6" s="3" t="inlineStr">
        <is>
          <t>Number of Questions</t>
        </is>
      </c>
      <c r="C6" s="3" t="inlineStr">
        <is>
          <t>Total Marks</t>
        </is>
      </c>
      <c r="D6" s="3" t="inlineStr">
        <is>
          <t>Syllabus Focus Summary</t>
        </is>
      </c>
    </row>
    <row r="7">
      <c r="A7" s="4" t="inlineStr">
        <is>
          <t>Verbal Ability &amp; Reading Comprehension (VARC)</t>
        </is>
      </c>
      <c r="B7" s="5" t="n">
        <v>24</v>
      </c>
      <c r="C7" s="5" t="n">
        <v>72</v>
      </c>
      <c r="D7" s="5" t="inlineStr">
        <is>
          <t>English Comprehension, Grammar, Verbal Logic &amp; Reasoning</t>
        </is>
      </c>
    </row>
    <row r="8">
      <c r="A8" s="6" t="inlineStr">
        <is>
          <t>Data Interpretation &amp; Logical Reasoning (DILR)</t>
        </is>
      </c>
      <c r="B8" s="7" t="n">
        <v>22</v>
      </c>
      <c r="C8" s="7" t="n">
        <v>66</v>
      </c>
      <c r="D8" s="7" t="inlineStr">
        <is>
          <t>Analytical skills, charts, arrangements, puzzles &amp; structures</t>
        </is>
      </c>
    </row>
    <row r="9">
      <c r="A9" s="4" t="inlineStr">
        <is>
          <t>Quantitative Aptitude (QA)</t>
        </is>
      </c>
      <c r="B9" s="5" t="n">
        <v>22</v>
      </c>
      <c r="C9" s="5" t="n">
        <v>66</v>
      </c>
      <c r="D9" s="5" t="inlineStr">
        <is>
          <t>Arithmetic, Algebra, Number System, Geometry, Modern Maths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94" customWidth="1" min="3" max="3"/>
    <col width="76" customWidth="1" min="4" max="4"/>
    <col width="60" customWidth="1" min="5" max="5"/>
    <col width="65" customWidth="1" min="6" max="6"/>
  </cols>
  <sheetData>
    <row r="1">
      <c r="A1" s="1" t="inlineStr">
        <is>
          <t>CAT Blueprint: Quantitative Aptitude</t>
        </is>
      </c>
    </row>
    <row r="2"/>
    <row r="3">
      <c r="A3" s="8" t="inlineStr">
        <is>
          <t>Day Schedule</t>
        </is>
      </c>
      <c r="B3" s="8" t="inlineStr">
        <is>
          <t>Module Category</t>
        </is>
      </c>
      <c r="C3" s="8" t="inlineStr">
        <is>
          <t>Explicit PDF Syllabus Topics</t>
        </is>
      </c>
      <c r="D3" s="8" t="inlineStr">
        <is>
          <t>Free Concept Learning Link</t>
        </is>
      </c>
      <c r="E3" s="8" t="inlineStr">
        <is>
          <t>YouTube Video Link</t>
        </is>
      </c>
      <c r="F3" s="8" t="inlineStr">
        <is>
          <t>Practice Question Link</t>
        </is>
      </c>
    </row>
    <row r="4">
      <c r="A4" s="7" t="inlineStr">
        <is>
          <t>Day 1-2</t>
        </is>
      </c>
      <c r="B4" s="7" t="inlineStr">
        <is>
          <t>Arithmetic</t>
        </is>
      </c>
      <c r="C4" s="7" t="inlineStr">
        <is>
          <t>Percentages, Ratios and Proportion</t>
        </is>
      </c>
      <c r="D4" s="9">
        <f>HYPERLINK("https://cracku.in/free-cat-preparation", "Open Link")</f>
        <v/>
      </c>
      <c r="E4" s="9">
        <f>HYPERLINK("https://www.youtube.com/@rodha", "Open Link")</f>
        <v/>
      </c>
      <c r="F4" s="9">
        <f>HYPERLINK("https://cracku.in/cat-question-bank", "Open Link")</f>
        <v/>
      </c>
    </row>
    <row r="5">
      <c r="A5" s="5" t="inlineStr">
        <is>
          <t>Day 3-4</t>
        </is>
      </c>
      <c r="B5" s="5" t="inlineStr">
        <is>
          <t>Arithmetic</t>
        </is>
      </c>
      <c r="C5" s="5" t="inlineStr">
        <is>
          <t>Profit &amp; Loss, Partnership (Accounts)</t>
        </is>
      </c>
      <c r="D5" s="10">
        <f>HYPERLINK("https://www.iquanta.in/free-cat-study-material", "Open Link")</f>
        <v/>
      </c>
      <c r="E5" s="10">
        <f>HYPERLINK("https://www.youtube.com/@rodha", "Open Link")</f>
        <v/>
      </c>
      <c r="F5" s="10">
        <f>HYPERLINK("https://cracku.in/cat-question-bank", "Open Link")</f>
        <v/>
      </c>
    </row>
    <row r="6">
      <c r="A6" s="7" t="inlineStr">
        <is>
          <t>Day 5-6</t>
        </is>
      </c>
      <c r="B6" s="7" t="inlineStr">
        <is>
          <t>Arithmetic</t>
        </is>
      </c>
      <c r="C6" s="7" t="inlineStr">
        <is>
          <t>Averages, Mean, Mode, Median, Mixtures and Allegations</t>
        </is>
      </c>
      <c r="D6" s="9">
        <f>HYPERLINK("https://cracku.in/free-cat-preparation", "Open Link")</f>
        <v/>
      </c>
      <c r="E6" s="9">
        <f>HYPERLINK("https://www.youtube.com/@rodha", "Open Link")</f>
        <v/>
      </c>
      <c r="F6" s="9">
        <f>HYPERLINK("https://cracku.in/cat-question-bank", "Open Link")</f>
        <v/>
      </c>
    </row>
    <row r="7">
      <c r="A7" s="5" t="inlineStr">
        <is>
          <t>Day 7-8</t>
        </is>
      </c>
      <c r="B7" s="5" t="inlineStr">
        <is>
          <t>Arithmetic</t>
        </is>
      </c>
      <c r="C7" s="5" t="inlineStr">
        <is>
          <t>Simple interest and compound interest</t>
        </is>
      </c>
      <c r="D7" s="10">
        <f>HYPERLINK("https://www.iquanta.in/free-cat-study-material", "Open Link")</f>
        <v/>
      </c>
      <c r="E7" s="10">
        <f>HYPERLINK("https://www.youtube.com/@rodha", "Open Link")</f>
        <v/>
      </c>
      <c r="F7" s="10">
        <f>HYPERLINK("https://cracku.in/cat-question-bank", "Open Link")</f>
        <v/>
      </c>
    </row>
    <row r="8">
      <c r="A8" s="7" t="inlineStr">
        <is>
          <t>Day 9-10</t>
        </is>
      </c>
      <c r="B8" s="7" t="inlineStr">
        <is>
          <t>Arithmetic</t>
        </is>
      </c>
      <c r="C8" s="7" t="inlineStr">
        <is>
          <t>Work and Time, Time-Speed-Distance</t>
        </is>
      </c>
      <c r="D8" s="9">
        <f>HYPERLINK("https://cracku.in/free-cat-preparation", "Open Link")</f>
        <v/>
      </c>
      <c r="E8" s="9">
        <f>HYPERLINK("https://www.youtube.com/@rodha", "Open Link")</f>
        <v/>
      </c>
      <c r="F8" s="9">
        <f>HYPERLINK("https://cracku.in/cat-question-bank", "Open Link")</f>
        <v/>
      </c>
    </row>
    <row r="9">
      <c r="A9" s="5" t="inlineStr">
        <is>
          <t>Day 11-13</t>
        </is>
      </c>
      <c r="B9" s="5" t="inlineStr">
        <is>
          <t>Algebra</t>
        </is>
      </c>
      <c r="C9" s="5" t="inlineStr">
        <is>
          <t>Basics Algebraic Formulae, Linear Equations, Problems on ages</t>
        </is>
      </c>
      <c r="D9" s="10">
        <f>HYPERLINK("https://www.iquanta.in/free-cat-study-material", "Open Link")</f>
        <v/>
      </c>
      <c r="E9" s="10">
        <f>HYPERLINK("https://www.youtube.com/@rodha", "Open Link")</f>
        <v/>
      </c>
      <c r="F9" s="10">
        <f>HYPERLINK("https://cracku.in/cat-question-bank", "Open Link")</f>
        <v/>
      </c>
    </row>
    <row r="10">
      <c r="A10" s="7" t="inlineStr">
        <is>
          <t>Day 14-16</t>
        </is>
      </c>
      <c r="B10" s="7" t="inlineStr">
        <is>
          <t>Algebra</t>
        </is>
      </c>
      <c r="C10" s="7" t="inlineStr">
        <is>
          <t>Quadratic Equations, Finding out roots, Maxima and Minima</t>
        </is>
      </c>
      <c r="D10" s="9">
        <f>HYPERLINK("https://cracku.in/free-cat-preparation", "Open Link")</f>
        <v/>
      </c>
      <c r="E10" s="9">
        <f>HYPERLINK("https://www.youtube.com/@rodha", "Open Link")</f>
        <v/>
      </c>
      <c r="F10" s="9">
        <f>HYPERLINK("https://cracku.in/cat-question-bank", "Open Link")</f>
        <v/>
      </c>
    </row>
    <row r="11">
      <c r="A11" s="5" t="inlineStr">
        <is>
          <t>Day 17-19</t>
        </is>
      </c>
      <c r="B11" s="5" t="inlineStr">
        <is>
          <t>Algebra</t>
        </is>
      </c>
      <c r="C11" s="5" t="inlineStr">
        <is>
          <t>In-equations, Inequalities, Higher Degree Equations, Descartes Rule of Signs</t>
        </is>
      </c>
      <c r="D11" s="10">
        <f>HYPERLINK("https://www.iquanta.in/free-cat-study-material", "Open Link")</f>
        <v/>
      </c>
      <c r="E11" s="10">
        <f>HYPERLINK("https://www.youtube.com/@rodha", "Open Link")</f>
        <v/>
      </c>
      <c r="F11" s="10">
        <f>HYPERLINK("https://cracku.in/cat-question-bank", "Open Link")</f>
        <v/>
      </c>
    </row>
    <row r="12">
      <c r="A12" s="7" t="inlineStr">
        <is>
          <t>Day 20-22</t>
        </is>
      </c>
      <c r="B12" s="7" t="inlineStr">
        <is>
          <t>Algebra</t>
        </is>
      </c>
      <c r="C12" s="7" t="inlineStr">
        <is>
          <t>Logarithms, Functions, Modifications of Graphs, Smallest Value in Maximum Function</t>
        </is>
      </c>
      <c r="D12" s="9">
        <f>HYPERLINK("https://cracku.in/free-cat-preparation", "Open Link")</f>
        <v/>
      </c>
      <c r="E12" s="9">
        <f>HYPERLINK("https://www.youtube.com/@rodha", "Open Link")</f>
        <v/>
      </c>
      <c r="F12" s="9">
        <f>HYPERLINK("https://cracku.in/cat-question-bank", "Open Link")</f>
        <v/>
      </c>
    </row>
    <row r="13">
      <c r="A13" s="5" t="inlineStr">
        <is>
          <t>Day 23-25</t>
        </is>
      </c>
      <c r="B13" s="5" t="inlineStr">
        <is>
          <t>Number System</t>
        </is>
      </c>
      <c r="C13" s="5" t="inlineStr">
        <is>
          <t>Basics of Numbers, Properties, Divisibility Rules &amp; Factors, HCF &amp; LCM</t>
        </is>
      </c>
      <c r="D13" s="10">
        <f>HYPERLINK("https://www.iquanta.in/free-cat-study-material", "Open Link")</f>
        <v/>
      </c>
      <c r="E13" s="10">
        <f>HYPERLINK("https://www.youtube.com/@rodha", "Open Link")</f>
        <v/>
      </c>
      <c r="F13" s="10">
        <f>HYPERLINK("https://cracku.in/cat-question-bank", "Open Link")</f>
        <v/>
      </c>
    </row>
    <row r="14">
      <c r="A14" s="7" t="inlineStr">
        <is>
          <t>Day 26-28</t>
        </is>
      </c>
      <c r="B14" s="7" t="inlineStr">
        <is>
          <t>Number System</t>
        </is>
      </c>
      <c r="C14" s="7" t="inlineStr">
        <is>
          <t>Last Digit, Last Two Digits, Number of Trailing Zeroes, Square Root and Cube Root</t>
        </is>
      </c>
      <c r="D14" s="9">
        <f>HYPERLINK("https://cracku.in/free-cat-preparation", "Open Link")</f>
        <v/>
      </c>
      <c r="E14" s="9">
        <f>HYPERLINK("https://www.youtube.com/@rodha", "Open Link")</f>
        <v/>
      </c>
      <c r="F14" s="9">
        <f>HYPERLINK("https://cracku.in/cat-question-bank", "Open Link")</f>
        <v/>
      </c>
    </row>
    <row r="15">
      <c r="A15" s="5" t="inlineStr">
        <is>
          <t>Day 29-32</t>
        </is>
      </c>
      <c r="B15" s="5" t="inlineStr">
        <is>
          <t>Number System</t>
        </is>
      </c>
      <c r="C15" s="5" t="inlineStr">
        <is>
          <t>Remainders (Binomial, Fermat's, Euler's, Wilson's Theorems, Pattern Recognition, Cyclicity)</t>
        </is>
      </c>
      <c r="D15" s="10">
        <f>HYPERLINK("https://www.iquanta.in/free-cat-study-material", "Open Link")</f>
        <v/>
      </c>
      <c r="E15" s="10">
        <f>HYPERLINK("https://www.youtube.com/@rodha", "Open Link")</f>
        <v/>
      </c>
      <c r="F15" s="10">
        <f>HYPERLINK("https://cracku.in/cat-question-bank", "Open Link")</f>
        <v/>
      </c>
    </row>
    <row r="16">
      <c r="A16" s="7" t="inlineStr">
        <is>
          <t>Day 33-35</t>
        </is>
      </c>
      <c r="B16" s="7" t="inlineStr">
        <is>
          <t>Number System</t>
        </is>
      </c>
      <c r="C16" s="7" t="inlineStr">
        <is>
          <t>Base Systems, Conversion of Bases, Operations in different bases</t>
        </is>
      </c>
      <c r="D16" s="9">
        <f>HYPERLINK("https://cracku.in/free-cat-preparation", "Open Link")</f>
        <v/>
      </c>
      <c r="E16" s="9">
        <f>HYPERLINK("https://www.youtube.com/@rodha", "Open Link")</f>
        <v/>
      </c>
      <c r="F16" s="9">
        <f>HYPERLINK("https://cracku.in/cat-question-bank", "Open Link")</f>
        <v/>
      </c>
    </row>
    <row r="17">
      <c r="A17" s="5" t="inlineStr">
        <is>
          <t>Day 36-39</t>
        </is>
      </c>
      <c r="B17" s="5" t="inlineStr">
        <is>
          <t>Geometry &amp; Trig</t>
        </is>
      </c>
      <c r="C17" s="5" t="inlineStr">
        <is>
          <t>Lines and Angles, Triangles (Concepts, Area, Angles, Similar Triangles), Polygons, Circles</t>
        </is>
      </c>
      <c r="D17" s="10">
        <f>HYPERLINK("https://www.iquanta.in/free-cat-study-material", "Open Link")</f>
        <v/>
      </c>
      <c r="E17" s="10">
        <f>HYPERLINK("https://www.youtube.com/@rodha", "Open Link")</f>
        <v/>
      </c>
      <c r="F17" s="10">
        <f>HYPERLINK("https://cracku.in/cat-question-bank", "Open Link")</f>
        <v/>
      </c>
    </row>
    <row r="18">
      <c r="A18" s="7" t="inlineStr">
        <is>
          <t>Day 40-42</t>
        </is>
      </c>
      <c r="B18" s="7" t="inlineStr">
        <is>
          <t>Geometry &amp; Trig</t>
        </is>
      </c>
      <c r="C18" s="7" t="inlineStr">
        <is>
          <t>Solids / Mensuration - 3D Geometry, Coordinate Geometry, Trigonometry</t>
        </is>
      </c>
      <c r="D18" s="9">
        <f>HYPERLINK("https://cracku.in/free-cat-preparation", "Open Link")</f>
        <v/>
      </c>
      <c r="E18" s="9">
        <f>HYPERLINK("https://www.youtube.com/@rodha", "Open Link")</f>
        <v/>
      </c>
      <c r="F18" s="9">
        <f>HYPERLINK("https://cracku.in/cat-question-bank", "Open Link")</f>
        <v/>
      </c>
    </row>
    <row r="19">
      <c r="A19" s="5" t="inlineStr">
        <is>
          <t>Day 43-45</t>
        </is>
      </c>
      <c r="B19" s="5" t="inlineStr">
        <is>
          <t>Modern Maths</t>
        </is>
      </c>
      <c r="C19" s="5" t="inlineStr">
        <is>
          <t>Sequence and Series, Geometric Progression, Binomial Theorem</t>
        </is>
      </c>
      <c r="D19" s="10">
        <f>HYPERLINK("https://www.iquanta.in/free-cat-study-material", "Open Link")</f>
        <v/>
      </c>
      <c r="E19" s="10">
        <f>HYPERLINK("https://www.youtube.com/@rodha", "Open Link")</f>
        <v/>
      </c>
      <c r="F19" s="10">
        <f>HYPERLINK("https://cracku.in/cat-question-bank", "Open Link")</f>
        <v/>
      </c>
    </row>
    <row r="20">
      <c r="A20" s="7" t="inlineStr">
        <is>
          <t>Day 46-50</t>
        </is>
      </c>
      <c r="B20" s="7" t="inlineStr">
        <is>
          <t>Modern Maths</t>
        </is>
      </c>
      <c r="C20" s="7" t="inlineStr">
        <is>
          <t>Set Theory, Permutation and Combination, Probability</t>
        </is>
      </c>
      <c r="D20" s="9">
        <f>HYPERLINK("https://cracku.in/free-cat-preparation", "Open Link")</f>
        <v/>
      </c>
      <c r="E20" s="9">
        <f>HYPERLINK("https://www.youtube.com/@rodha", "Open Link")</f>
        <v/>
      </c>
      <c r="F20" s="9">
        <f>HYPERLINK("https://cracku.in/cat-question-bank", "Open Link")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7" customWidth="1" min="3" max="3"/>
    <col width="76" customWidth="1" min="4" max="4"/>
    <col width="102" customWidth="1" min="5" max="5"/>
    <col width="65" customWidth="1" min="6" max="6"/>
  </cols>
  <sheetData>
    <row r="1">
      <c r="A1" s="1" t="inlineStr">
        <is>
          <t>CAT Blueprint: DILR</t>
        </is>
      </c>
    </row>
    <row r="2"/>
    <row r="3">
      <c r="A3" s="8" t="inlineStr">
        <is>
          <t>Day Schedule</t>
        </is>
      </c>
      <c r="B3" s="8" t="inlineStr">
        <is>
          <t>Module Category</t>
        </is>
      </c>
      <c r="C3" s="8" t="inlineStr">
        <is>
          <t>Explicit PDF Syllabus Topics</t>
        </is>
      </c>
      <c r="D3" s="8" t="inlineStr">
        <is>
          <t>Free Concept Learning Link</t>
        </is>
      </c>
      <c r="E3" s="8" t="inlineStr">
        <is>
          <t>YouTube Video Link</t>
        </is>
      </c>
      <c r="F3" s="8" t="inlineStr">
        <is>
          <t>Practice Question Link</t>
        </is>
      </c>
    </row>
    <row r="4">
      <c r="A4" s="7" t="inlineStr">
        <is>
          <t>Day 1-3</t>
        </is>
      </c>
      <c r="B4" s="7" t="inlineStr">
        <is>
          <t>Data Interpretation</t>
        </is>
      </c>
      <c r="C4" s="7" t="inlineStr">
        <is>
          <t>Tables, Pie Charts, Bars &amp; Line Graphs</t>
        </is>
      </c>
      <c r="D4" s="9">
        <f>HYPERLINK("https://cracku.in/free-cat-preparation", "Open Link")</f>
        <v/>
      </c>
      <c r="E4" s="9">
        <f>HYPERLINK("https://www.youtube.com/playlist?list=PLG4bwc5fquzmPJEZor60ZPhVmbvO46pZ7", "Open Link")</f>
        <v/>
      </c>
      <c r="F4" s="9">
        <f>HYPERLINK("https://cracku.in/cat-question-bank", "Open Link")</f>
        <v/>
      </c>
    </row>
    <row r="5">
      <c r="A5" s="5" t="inlineStr">
        <is>
          <t>Day 4-6</t>
        </is>
      </c>
      <c r="B5" s="5" t="inlineStr">
        <is>
          <t>Data Interpretation</t>
        </is>
      </c>
      <c r="C5" s="5" t="inlineStr">
        <is>
          <t>Sets, Caselets, Data Structures</t>
        </is>
      </c>
      <c r="D5" s="10">
        <f>HYPERLINK("https://www.iquanta.in/free-cat-study-material", "Open Link")</f>
        <v/>
      </c>
      <c r="E5" s="10">
        <f>HYPERLINK("https://www.youtube.com/playlist?list=PLG4bwc5fquzmPJEZor60ZPhVmbvO46pZ7", "Open Link")</f>
        <v/>
      </c>
      <c r="F5" s="10">
        <f>HYPERLINK("https://cracku.in/cat-question-bank", "Open Link")</f>
        <v/>
      </c>
    </row>
    <row r="6">
      <c r="A6" s="7" t="inlineStr">
        <is>
          <t>Day 7-9</t>
        </is>
      </c>
      <c r="B6" s="7" t="inlineStr">
        <is>
          <t>Logical Reasoning</t>
        </is>
      </c>
      <c r="C6" s="7" t="inlineStr">
        <is>
          <t>Blood Relations, Family Tree, Direction Sense</t>
        </is>
      </c>
      <c r="D6" s="9">
        <f>HYPERLINK("https://cracku.in/free-cat-preparation", "Open Link")</f>
        <v/>
      </c>
      <c r="E6" s="9">
        <f>HYPERLINK("https://www.youtube.com/playlist?list=PLG4bwc5fquzmPJEZor60ZPhVmbvO46pZ7", "Open Link")</f>
        <v/>
      </c>
      <c r="F6" s="9">
        <f>HYPERLINK("https://cracku.in/cat-question-bank", "Open Link")</f>
        <v/>
      </c>
    </row>
    <row r="7">
      <c r="A7" s="5" t="inlineStr">
        <is>
          <t>Day 10-12</t>
        </is>
      </c>
      <c r="B7" s="5" t="inlineStr">
        <is>
          <t>Logical Reasoning</t>
        </is>
      </c>
      <c r="C7" s="5" t="inlineStr">
        <is>
          <t>Clocks and Calendars, Series, Coding-Decoding</t>
        </is>
      </c>
      <c r="D7" s="10">
        <f>HYPERLINK("https://www.iquanta.in/free-cat-study-material", "Open Link")</f>
        <v/>
      </c>
      <c r="E7" s="10">
        <f>HYPERLINK("https://www.youtube.com/playlist?list=PLG4bwc5fquzmPJEZor60ZPhVmbvO46pZ7", "Open Link")</f>
        <v/>
      </c>
      <c r="F7" s="10">
        <f>HYPERLINK("https://cracku.in/cat-question-bank", "Open Link")</f>
        <v/>
      </c>
    </row>
    <row r="8">
      <c r="A8" s="7" t="inlineStr">
        <is>
          <t>Day 13-15</t>
        </is>
      </c>
      <c r="B8" s="7" t="inlineStr">
        <is>
          <t>Logical Reasoning</t>
        </is>
      </c>
      <c r="C8" s="7" t="inlineStr">
        <is>
          <t>Venn Diagram, Syllogism, Binary Logic</t>
        </is>
      </c>
      <c r="D8" s="9">
        <f>HYPERLINK("https://cracku.in/free-cat-preparation", "Open Link")</f>
        <v/>
      </c>
      <c r="E8" s="9">
        <f>HYPERLINK("https://www.youtube.com/playlist?list=PLG4bwc5fquzmPJEZor60ZPhVmbvO46pZ7", "Open Link")</f>
        <v/>
      </c>
      <c r="F8" s="9">
        <f>HYPERLINK("https://cracku.in/cat-question-bank", "Open Link")</f>
        <v/>
      </c>
    </row>
    <row r="9">
      <c r="A9" s="5" t="inlineStr">
        <is>
          <t>Day 16-18</t>
        </is>
      </c>
      <c r="B9" s="5" t="inlineStr">
        <is>
          <t>Logical Reasoning</t>
        </is>
      </c>
      <c r="C9" s="5" t="inlineStr">
        <is>
          <t>Data Arrangement, Seating Arrangement, Puzzles</t>
        </is>
      </c>
      <c r="D9" s="10">
        <f>HYPERLINK("https://www.iquanta.in/free-cat-study-material", "Open Link")</f>
        <v/>
      </c>
      <c r="E9" s="10">
        <f>HYPERLINK("https://www.youtube.com/playlist?list=PLG4bwc5fquzmPJEZor60ZPhVmbvO46pZ7", "Open Link")</f>
        <v/>
      </c>
      <c r="F9" s="10">
        <f>HYPERLINK("https://cracku.in/cat-question-bank", "Open Link")</f>
        <v/>
      </c>
    </row>
    <row r="10">
      <c r="A10" s="7" t="inlineStr">
        <is>
          <t>Day 19-20</t>
        </is>
      </c>
      <c r="B10" s="7" t="inlineStr">
        <is>
          <t>Logical Reasoning</t>
        </is>
      </c>
      <c r="C10" s="7" t="inlineStr">
        <is>
          <t>Statements, Proposition, Assumptions, Data Sufficiency</t>
        </is>
      </c>
      <c r="D10" s="9">
        <f>HYPERLINK("https://cracku.in/free-cat-preparation", "Open Link")</f>
        <v/>
      </c>
      <c r="E10" s="9">
        <f>HYPERLINK("https://www.youtube.com/playlist?list=PLG4bwc5fquzmPJEZor60ZPhVmbvO46pZ7", "Open Link")</f>
        <v/>
      </c>
      <c r="F10" s="9">
        <f>HYPERLINK("https://cracku.in/cat-question-bank", "Open Link")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10" customWidth="1" min="3" max="3"/>
    <col width="76" customWidth="1" min="4" max="4"/>
    <col width="60" customWidth="1" min="5" max="5"/>
    <col width="65" customWidth="1" min="6" max="6"/>
  </cols>
  <sheetData>
    <row r="1">
      <c r="A1" s="1" t="inlineStr">
        <is>
          <t>CAT Blueprint: VARC</t>
        </is>
      </c>
    </row>
    <row r="2"/>
    <row r="3">
      <c r="A3" s="8" t="inlineStr">
        <is>
          <t>Day Schedule</t>
        </is>
      </c>
      <c r="B3" s="8" t="inlineStr">
        <is>
          <t>Module Category</t>
        </is>
      </c>
      <c r="C3" s="8" t="inlineStr">
        <is>
          <t>Explicit PDF Syllabus Topics</t>
        </is>
      </c>
      <c r="D3" s="8" t="inlineStr">
        <is>
          <t>Free Concept Learning Link</t>
        </is>
      </c>
      <c r="E3" s="8" t="inlineStr">
        <is>
          <t>YouTube Video Link</t>
        </is>
      </c>
      <c r="F3" s="8" t="inlineStr">
        <is>
          <t>Practice Question Link</t>
        </is>
      </c>
    </row>
    <row r="4">
      <c r="A4" s="7" t="inlineStr">
        <is>
          <t>Day 1-3</t>
        </is>
      </c>
      <c r="B4" s="7" t="inlineStr">
        <is>
          <t>Grammar</t>
        </is>
      </c>
      <c r="C4" s="7" t="inlineStr">
        <is>
          <t>Subject-verb agreement, Parts of speech, Preposition, Types of clauses</t>
        </is>
      </c>
      <c r="D4" s="9">
        <f>HYPERLINK("https://cracku.in/free-cat-preparation", "Open Link")</f>
        <v/>
      </c>
      <c r="E4" s="9">
        <f>HYPERLINK("https://www.youtube.com/@rodha", "Open Link")</f>
        <v/>
      </c>
      <c r="F4" s="9">
        <f>HYPERLINK("https://cracku.in/cat-question-bank", "Open Link")</f>
        <v/>
      </c>
    </row>
    <row r="5">
      <c r="A5" s="5" t="inlineStr">
        <is>
          <t>Day 4-6</t>
        </is>
      </c>
      <c r="B5" s="5" t="inlineStr">
        <is>
          <t>Grammar &amp; Vocab</t>
        </is>
      </c>
      <c r="C5" s="5" t="inlineStr">
        <is>
          <t>Phrases modifiers, Errors in tenses, Articles usage, Fill in the blanks</t>
        </is>
      </c>
      <c r="D5" s="10">
        <f>HYPERLINK("https://www.iquanta.in/free-cat-study-material", "Open Link")</f>
        <v/>
      </c>
      <c r="E5" s="10">
        <f>HYPERLINK("https://www.youtube.com/@rodha", "Open Link")</f>
        <v/>
      </c>
      <c r="F5" s="10">
        <f>HYPERLINK("https://cracku.in/cat-question-bank", "Open Link")</f>
        <v/>
      </c>
    </row>
    <row r="6">
      <c r="A6" s="7" t="inlineStr">
        <is>
          <t>Day 7-9</t>
        </is>
      </c>
      <c r="B6" s="7" t="inlineStr">
        <is>
          <t>Vocabulary</t>
        </is>
      </c>
      <c r="C6" s="7" t="inlineStr">
        <is>
          <t>Foreign language words, Different usage of same word, Idioms, One word substitution</t>
        </is>
      </c>
      <c r="D6" s="9">
        <f>HYPERLINK("https://cracku.in/free-cat-preparation", "Open Link")</f>
        <v/>
      </c>
      <c r="E6" s="9">
        <f>HYPERLINK("https://www.youtube.com/@rodha", "Open Link")</f>
        <v/>
      </c>
      <c r="F6" s="9">
        <f>HYPERLINK("https://cracku.in/cat-question-bank", "Open Link")</f>
        <v/>
      </c>
    </row>
    <row r="7">
      <c r="A7" s="5" t="inlineStr">
        <is>
          <t>Day 10-12</t>
        </is>
      </c>
      <c r="B7" s="5" t="inlineStr">
        <is>
          <t>Verbal Logic</t>
        </is>
      </c>
      <c r="C7" s="5" t="inlineStr">
        <is>
          <t>Sentence completion, Analogies, Antonyms, Sentence correction</t>
        </is>
      </c>
      <c r="D7" s="10">
        <f>HYPERLINK("https://www.iquanta.in/free-cat-study-material", "Open Link")</f>
        <v/>
      </c>
      <c r="E7" s="10">
        <f>HYPERLINK("https://www.youtube.com/@rodha", "Open Link")</f>
        <v/>
      </c>
      <c r="F7" s="10">
        <f>HYPERLINK("https://cracku.in/cat-question-bank", "Open Link")</f>
        <v/>
      </c>
    </row>
    <row r="8">
      <c r="A8" s="7" t="inlineStr">
        <is>
          <t>Day 13-16</t>
        </is>
      </c>
      <c r="B8" s="7" t="inlineStr">
        <is>
          <t>Verbal Reasoning</t>
        </is>
      </c>
      <c r="C8" s="7" t="inlineStr">
        <is>
          <t>Para completion, Verbal logic, Inference, Parajumbles, Syllogisms, Jumbled paragraphs</t>
        </is>
      </c>
      <c r="D8" s="9">
        <f>HYPERLINK("https://cracku.in/free-cat-preparation", "Open Link")</f>
        <v/>
      </c>
      <c r="E8" s="9">
        <f>HYPERLINK("https://www.youtube.com/@rodha", "Open Link")</f>
        <v/>
      </c>
      <c r="F8" s="9">
        <f>HYPERLINK("https://cracku.in/cat-question-bank", "Open Link")</f>
        <v/>
      </c>
    </row>
    <row r="9">
      <c r="A9" s="5" t="inlineStr">
        <is>
          <t>Day 17-20</t>
        </is>
      </c>
      <c r="B9" s="5" t="inlineStr">
        <is>
          <t>Reading Comp</t>
        </is>
      </c>
      <c r="C9" s="5" t="inlineStr">
        <is>
          <t>RC Passages Genre Practice: Utility &amp; Human Economics, Spice Trade, Technology impact, AI, Space</t>
        </is>
      </c>
      <c r="D9" s="10">
        <f>HYPERLINK("https://www.iquanta.in/free-cat-study-material", "Open Link")</f>
        <v/>
      </c>
      <c r="E9" s="10">
        <f>HYPERLINK("https://www.youtube.com/@rodha", "Open Link")</f>
        <v/>
      </c>
      <c r="F9" s="10">
        <f>HYPERLINK("https://cracku.in/cat-question-bank", "Open Link")</f>
        <v/>
      </c>
    </row>
    <row r="10">
      <c r="A10" s="7" t="inlineStr">
        <is>
          <t>Day 21-25</t>
        </is>
      </c>
      <c r="B10" s="7" t="inlineStr">
        <is>
          <t>Reading Comp</t>
        </is>
      </c>
      <c r="C10" s="7" t="inlineStr">
        <is>
          <t>RC Passages Genre Practice: Environmental/Philosophy, Change in Work Culture, Fashion Industry Pollution</t>
        </is>
      </c>
      <c r="D10" s="9">
        <f>HYPERLINK("https://cracku.in/free-cat-preparation", "Open Link")</f>
        <v/>
      </c>
      <c r="E10" s="9">
        <f>HYPERLINK("https://www.youtube.com/@rodha", "Open Link")</f>
        <v/>
      </c>
      <c r="F10" s="9">
        <f>HYPERLINK("https://cracku.in/cat-question-bank", "Open Link")</f>
        <v/>
      </c>
    </row>
    <row r="11">
      <c r="A11" s="5" t="inlineStr">
        <is>
          <t>Day 26-30</t>
        </is>
      </c>
      <c r="B11" s="5" t="inlineStr">
        <is>
          <t>Reading Comp</t>
        </is>
      </c>
      <c r="C11" s="5" t="inlineStr">
        <is>
          <t>RC Passages Genre Practice: Human Behavior in History, Rational Thinking, Culture Property Law, Colonialism</t>
        </is>
      </c>
      <c r="D11" s="10">
        <f>HYPERLINK("https://www.iquanta.in/free-cat-study-material", "Open Link")</f>
        <v/>
      </c>
      <c r="E11" s="10">
        <f>HYPERLINK("https://www.youtube.com/@rodha", "Open Link")</f>
        <v/>
      </c>
      <c r="F11" s="10">
        <f>HYPERLINK("https://cracku.in/cat-question-bank", "Open Link")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2026-06-24T06:44:15Z</dcterms:created>
  <dcterms:modified xmlns:dcterms="http://purl.org/dc/terms/" xmlns:xsi="http://www.w3.org/2001/XMLSchema-instance" xsi:type="dcterms:W3CDTF">2026-06-24T06:44:15Z</dcterms:modified>
</cp:coreProperties>
</file>