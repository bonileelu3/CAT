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Strategy" sheetId="1" state="visible" r:id="rId1"/>
    <sheet xmlns:r="http://schemas.openxmlformats.org/officeDocument/2006/relationships" name="Quantitative Aptitude" sheetId="2" state="visible" r:id="rId2"/>
    <sheet xmlns:r="http://schemas.openxmlformats.org/officeDocument/2006/relationships" name="DILR" sheetId="3" state="visible" r:id="rId3"/>
    <sheet xmlns:r="http://schemas.openxmlformats.org/officeDocument/2006/relationships" name="VARC" sheetId="4" state="visible" r:id="rId4"/>
  </sheets>
  <definedNames>
    <definedName name="_xlnm._FilterDatabase" localSheetId="1" hidden="1">'Quantitative Aptitude'!$A$3:$F$21</definedName>
    <definedName name="_xlnm._FilterDatabase" localSheetId="2" hidden="1">'DILR'!$A$3:$F$13</definedName>
    <definedName name="_xlnm._FilterDatabase" localSheetId="3" hidden="1">'VARC'!$A$3:$F$11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sz val="11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color rgb="000563C1"/>
      <sz val="10"/>
      <u val="single"/>
    </font>
    <font>
      <name val="Segoe UI"/>
      <b val="1"/>
      <color rgb="002F4F4F"/>
      <sz val="12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6FA"/>
        <bgColor rgb="00F2F6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pivotButton="0" quotePrefix="0" xfId="0"/>
    <xf numFmtId="0" fontId="5" fillId="3" borderId="1" pivotButton="0" quotePrefix="0" xfId="0"/>
    <xf numFmtId="0" fontId="6" fillId="3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263" customWidth="1" min="1" max="1"/>
    <col width="28" customWidth="1" min="2" max="2"/>
    <col width="111" customWidth="1" min="3" max="3"/>
    <col width="69" customWidth="1" min="4" max="4"/>
  </cols>
  <sheetData>
    <row r="1"/>
    <row r="2" ht="25" customHeight="1">
      <c r="A2" s="1" t="inlineStr">
        <is>
          <t>CAT Exam Preparation Master Roadmap</t>
        </is>
      </c>
    </row>
    <row r="3"/>
    <row r="4">
      <c r="A4" s="2" t="inlineStr">
        <is>
          <t>This interactive study schedule outlines a comprehensive day-by-day preparation plan for the CAT Exam, split across separate tabs for Quantitative Aptitude (QA), Data Interpretation &amp; Logical Reasoning (DILR), and Verbal Ability &amp; Reading Comprehension (VARC).</t>
        </is>
      </c>
    </row>
    <row r="5"/>
    <row r="6" ht="24" customHeight="1">
      <c r="A6" s="3" t="inlineStr">
        <is>
          <t>Resource Type</t>
        </is>
      </c>
      <c r="B6" s="3" t="inlineStr">
        <is>
          <t>Platform / Provider</t>
        </is>
      </c>
      <c r="C6" s="3" t="inlineStr">
        <is>
          <t>Access Link</t>
        </is>
      </c>
      <c r="D6" s="3" t="inlineStr">
        <is>
          <t>Description</t>
        </is>
      </c>
    </row>
    <row r="7">
      <c r="A7" s="4" t="inlineStr">
        <is>
          <t>Comprehensive Quants</t>
        </is>
      </c>
      <c r="B7" s="5" t="inlineStr">
        <is>
          <t>Rodha YouTube Channel</t>
        </is>
      </c>
      <c r="C7" s="6">
        <f>HYPERLINK("https://www.youtube.com/@rodha", "Open Resource Link")</f>
        <v/>
      </c>
      <c r="D7" s="5" t="inlineStr">
        <is>
          <t>350+ free conceptual videos covering full QA syllabus</t>
        </is>
      </c>
    </row>
    <row r="8">
      <c r="A8" s="7" t="inlineStr">
        <is>
          <t>Complete LRDI Course</t>
        </is>
      </c>
      <c r="B8" s="8" t="inlineStr">
        <is>
          <t>Rodha LRDI Playlist</t>
        </is>
      </c>
      <c r="C8" s="9">
        <f>HYPERLINK("https://www.youtube.com/playlist?list=PLG4bwc5fquzmPJEZor60ZPhVmbvO46pZ7", "Open Resource Link")</f>
        <v/>
      </c>
      <c r="D8" s="8" t="inlineStr">
        <is>
          <t>Complete foundational to advanced LRDI problem sets</t>
        </is>
      </c>
    </row>
    <row r="9">
      <c r="A9" s="4" t="inlineStr">
        <is>
          <t>VARC Reading &amp; Theory</t>
        </is>
      </c>
      <c r="B9" s="5" t="inlineStr">
        <is>
          <t>Wordpandit &amp; Cracku</t>
        </is>
      </c>
      <c r="C9" s="6">
        <f>HYPERLINK("https://cracku.in/free-cat-preparation", "Open Resource Link")</f>
        <v/>
      </c>
      <c r="D9" s="5" t="inlineStr">
        <is>
          <t>Free Reading Comprehension techniques, tests, and vocabulary tools</t>
        </is>
      </c>
    </row>
    <row r="10">
      <c r="A10" s="7" t="inlineStr">
        <is>
          <t>Practice Question Bank</t>
        </is>
      </c>
      <c r="B10" s="8" t="inlineStr">
        <is>
          <t>Cracku CAT Question Bank</t>
        </is>
      </c>
      <c r="C10" s="9">
        <f>HYPERLINK("https://cracku.in/cat-question-bank", "Open Resource Link")</f>
        <v/>
      </c>
      <c r="D10" s="8" t="inlineStr">
        <is>
          <t>Topic-wise free practice questions with video solutions</t>
        </is>
      </c>
    </row>
    <row r="11">
      <c r="A11" s="4" t="inlineStr">
        <is>
          <t>Previous Year Papers</t>
        </is>
      </c>
      <c r="B11" s="5" t="inlineStr">
        <is>
          <t>iQuanta &amp; Career Launcher</t>
        </is>
      </c>
      <c r="C11" s="6">
        <f>HYPERLINK("https://www.iquanta.in/free-cat-study-material", "Open Resource Link")</f>
        <v/>
      </c>
      <c r="D11" s="5" t="inlineStr">
        <is>
          <t>CAT original papers (2000-2025) with step-by-step video solutions</t>
        </is>
      </c>
    </row>
    <row r="12">
      <c r="A12" s="7" t="inlineStr">
        <is>
          <t>Free Mock Tests</t>
        </is>
      </c>
      <c r="B12" s="8" t="inlineStr">
        <is>
          <t>CATKing Free Mocks</t>
        </is>
      </c>
      <c r="C12" s="9">
        <f>HYPERLINK("https://catking.in/blog/Best-Free-CAT-Preparation-Material-2026", "Open Resource Link")</f>
        <v/>
      </c>
      <c r="D12" s="8" t="inlineStr">
        <is>
          <t>Full-length and sectional simulated diagnostics</t>
        </is>
      </c>
    </row>
    <row r="13"/>
    <row r="14"/>
    <row r="15">
      <c r="A15" s="10" t="inlineStr">
        <is>
          <t>Core Preparation Rules for CAT Strategy:</t>
        </is>
      </c>
    </row>
    <row r="16">
      <c r="A16" s="11" t="inlineStr">
        <is>
          <t>1. Don't just watch videos: For every 1 hour of video concept learning, spend 2 hours solving questions yourself.</t>
        </is>
      </c>
    </row>
    <row r="17">
      <c r="A17" s="11" t="inlineStr">
        <is>
          <t>2. Rigorous Analysis: Analyze every wrong answer in your practice sheets or mocks; identify if it was a conceptual flaw or calculation error.</t>
        </is>
      </c>
    </row>
    <row r="18">
      <c r="A18" s="11" t="inlineStr">
        <is>
          <t>3. Section-Wise Focus: Follow the separate tabs for QA, DILR, and VARC. You can run them in parallel (e.g., 1 topic from each section per week).</t>
        </is>
      </c>
    </row>
    <row r="19">
      <c r="A19" s="11" t="inlineStr">
        <is>
          <t>4. Revision Cycles: Every 15 days, spend 2 days purely revising older formulas and re-solving tricky sets.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4" customWidth="1" min="1" max="1"/>
    <col width="16" customWidth="1" min="2" max="2"/>
    <col width="46" customWidth="1" min="3" max="3"/>
    <col width="81" customWidth="1" min="4" max="4"/>
    <col width="78" customWidth="1" min="5" max="5"/>
    <col width="70" customWidth="1" min="6" max="6"/>
  </cols>
  <sheetData>
    <row r="1" ht="30" customHeight="1">
      <c r="A1" s="1" t="inlineStr">
        <is>
          <t>CAT Day-by-Day Detailed Plan: Quantitative Aptitude</t>
        </is>
      </c>
    </row>
    <row r="2"/>
    <row r="3" ht="26" customHeight="1">
      <c r="A3" s="12" t="inlineStr">
        <is>
          <t>Day</t>
        </is>
      </c>
      <c r="B3" s="12" t="inlineStr">
        <is>
          <t>Main Module</t>
        </is>
      </c>
      <c r="C3" s="12" t="inlineStr">
        <is>
          <t>Sub-Topic</t>
        </is>
      </c>
      <c r="D3" s="12" t="inlineStr">
        <is>
          <t>Concept Learning Link (Free)</t>
        </is>
      </c>
      <c r="E3" s="12" t="inlineStr">
        <is>
          <t>YouTube Video Link</t>
        </is>
      </c>
      <c r="F3" s="12" t="inlineStr">
        <is>
          <t>Sample Question Solving Link</t>
        </is>
      </c>
    </row>
    <row r="4" ht="22" customHeight="1">
      <c r="A4" s="13" t="inlineStr">
        <is>
          <t>Day 1-2</t>
        </is>
      </c>
      <c r="B4" s="13" t="inlineStr">
        <is>
          <t>Arithmetic</t>
        </is>
      </c>
      <c r="C4" s="14" t="inlineStr">
        <is>
          <t>Percentages Basics &amp; Fractions</t>
        </is>
      </c>
      <c r="D4" s="15">
        <f>HYPERLINK("https://cracku.in/free-cat-preparation", "Click to Learn")</f>
        <v/>
      </c>
      <c r="E4" s="15">
        <f>HYPERLINK("https://www.youtube.com/watch?v=5O6ZnVoqwl4", "Click to Learn")</f>
        <v/>
      </c>
      <c r="F4" s="15">
        <f>HYPERLINK("https://cracku.in/cat-question-bank", "Click to Learn")</f>
        <v/>
      </c>
    </row>
    <row r="5" ht="22" customHeight="1">
      <c r="A5" s="16" t="inlineStr">
        <is>
          <t>Day 3-4</t>
        </is>
      </c>
      <c r="B5" s="16" t="inlineStr">
        <is>
          <t>Arithmetic</t>
        </is>
      </c>
      <c r="C5" s="17" t="inlineStr">
        <is>
          <t>Percentage Increases &amp; Applications</t>
        </is>
      </c>
      <c r="D5" s="18">
        <f>HYPERLINK("https://www.iquanta.in/free-cat-study-material", "Click to Learn")</f>
        <v/>
      </c>
      <c r="E5" s="18">
        <f>HYPERLINK("https://www.youtube.com/watch?v=5O6ZnVoqwl4", "Click to Learn")</f>
        <v/>
      </c>
      <c r="F5" s="18">
        <f>HYPERLINK("https://cracku.in/cat-question-bank", "Click to Learn")</f>
        <v/>
      </c>
    </row>
    <row r="6" ht="22" customHeight="1">
      <c r="A6" s="13" t="inlineStr">
        <is>
          <t>Day 5-7</t>
        </is>
      </c>
      <c r="B6" s="13" t="inlineStr">
        <is>
          <t>Arithmetic</t>
        </is>
      </c>
      <c r="C6" s="14" t="inlineStr">
        <is>
          <t>Profit, Loss, and Discount Basics</t>
        </is>
      </c>
      <c r="D6" s="15">
        <f>HYPERLINK("https://cracku.in/free-cat-preparation", "Click to Learn")</f>
        <v/>
      </c>
      <c r="E6" s="15">
        <f>HYPERLINK("https://www.youtube.com/watch?v=5O6ZnVoqwl4", "Click to Learn")</f>
        <v/>
      </c>
      <c r="F6" s="15">
        <f>HYPERLINK("https://cracku.in/cat-question-bank", "Click to Learn")</f>
        <v/>
      </c>
    </row>
    <row r="7" ht="22" customHeight="1">
      <c r="A7" s="16" t="inlineStr">
        <is>
          <t>Day 8-10</t>
        </is>
      </c>
      <c r="B7" s="16" t="inlineStr">
        <is>
          <t>Arithmetic</t>
        </is>
      </c>
      <c r="C7" s="17" t="inlineStr">
        <is>
          <t>Advanced Profit &amp; Loss, Faulty Weights</t>
        </is>
      </c>
      <c r="D7" s="18">
        <f>HYPERLINK("https://www.iquanta.in/free-cat-study-material", "Click to Learn")</f>
        <v/>
      </c>
      <c r="E7" s="18">
        <f>HYPERLINK("https://www.youtube.com/watch?v=5O6ZnVoqwl4", "Click to Learn")</f>
        <v/>
      </c>
      <c r="F7" s="18">
        <f>HYPERLINK("https://cracku.in/cat-question-bank", "Click to Learn")</f>
        <v/>
      </c>
    </row>
    <row r="8" ht="22" customHeight="1">
      <c r="A8" s="13" t="inlineStr">
        <is>
          <t>Day 11-13</t>
        </is>
      </c>
      <c r="B8" s="13" t="inlineStr">
        <is>
          <t>Arithmetic</t>
        </is>
      </c>
      <c r="C8" s="14" t="inlineStr">
        <is>
          <t>Simple Interest &amp; Compound Interest</t>
        </is>
      </c>
      <c r="D8" s="15">
        <f>HYPERLINK("https://cracku.in/free-cat-preparation", "Click to Learn")</f>
        <v/>
      </c>
      <c r="E8" s="15">
        <f>HYPERLINK("https://www.youtube.com/watch?v=5O6ZnVoqwl4", "Click to Learn")</f>
        <v/>
      </c>
      <c r="F8" s="15">
        <f>HYPERLINK("https://cracku.in/cat-question-bank", "Click to Learn")</f>
        <v/>
      </c>
    </row>
    <row r="9" ht="22" customHeight="1">
      <c r="A9" s="16" t="inlineStr">
        <is>
          <t>Day 14-16</t>
        </is>
      </c>
      <c r="B9" s="16" t="inlineStr">
        <is>
          <t>Arithmetic</t>
        </is>
      </c>
      <c r="C9" s="17" t="inlineStr">
        <is>
          <t>Ratios, Proportions, and Variations</t>
        </is>
      </c>
      <c r="D9" s="18">
        <f>HYPERLINK("https://www.iquanta.in/free-cat-study-material", "Click to Learn")</f>
        <v/>
      </c>
      <c r="E9" s="18">
        <f>HYPERLINK("https://www.youtube.com/watch?v=5O6ZnVoqwl4", "Click to Learn")</f>
        <v/>
      </c>
      <c r="F9" s="18">
        <f>HYPERLINK("https://cracku.in/cat-question-bank", "Click to Learn")</f>
        <v/>
      </c>
    </row>
    <row r="10" ht="22" customHeight="1">
      <c r="A10" s="13" t="inlineStr">
        <is>
          <t>Day 17-19</t>
        </is>
      </c>
      <c r="B10" s="13" t="inlineStr">
        <is>
          <t>Arithmetic</t>
        </is>
      </c>
      <c r="C10" s="14" t="inlineStr">
        <is>
          <t>Averages, Mixtures &amp; Alligations</t>
        </is>
      </c>
      <c r="D10" s="15">
        <f>HYPERLINK("https://cracku.in/free-cat-preparation", "Click to Learn")</f>
        <v/>
      </c>
      <c r="E10" s="15">
        <f>HYPERLINK("https://www.youtube.com/watch?v=5O6ZnVoqwl4", "Click to Learn")</f>
        <v/>
      </c>
      <c r="F10" s="15">
        <f>HYPERLINK("https://cracku.in/cat-question-bank", "Click to Learn")</f>
        <v/>
      </c>
    </row>
    <row r="11" ht="22" customHeight="1">
      <c r="A11" s="16" t="inlineStr">
        <is>
          <t>Day 20-22</t>
        </is>
      </c>
      <c r="B11" s="16" t="inlineStr">
        <is>
          <t>Arithmetic</t>
        </is>
      </c>
      <c r="C11" s="17" t="inlineStr">
        <is>
          <t>Time and Work, Pipes &amp; Cisterns</t>
        </is>
      </c>
      <c r="D11" s="18">
        <f>HYPERLINK("https://www.iquanta.in/free-cat-study-material", "Click to Learn")</f>
        <v/>
      </c>
      <c r="E11" s="18">
        <f>HYPERLINK("https://www.youtube.com/watch?v=5O6ZnVoqwl4", "Click to Learn")</f>
        <v/>
      </c>
      <c r="F11" s="18">
        <f>HYPERLINK("https://cracku.in/cat-question-bank", "Click to Learn")</f>
        <v/>
      </c>
    </row>
    <row r="12" ht="22" customHeight="1">
      <c r="A12" s="13" t="inlineStr">
        <is>
          <t>Day 23-25</t>
        </is>
      </c>
      <c r="B12" s="13" t="inlineStr">
        <is>
          <t>Arithmetic</t>
        </is>
      </c>
      <c r="C12" s="14" t="inlineStr">
        <is>
          <t>Time, Speed, Distance: Linear Race</t>
        </is>
      </c>
      <c r="D12" s="15">
        <f>HYPERLINK("https://cracku.in/free-cat-preparation", "Click to Learn")</f>
        <v/>
      </c>
      <c r="E12" s="15">
        <f>HYPERLINK("https://www.youtube.com/watch?v=5O6ZnVoqwl4", "Click to Learn")</f>
        <v/>
      </c>
      <c r="F12" s="15">
        <f>HYPERLINK("https://cracku.in/cat-question-bank", "Click to Learn")</f>
        <v/>
      </c>
    </row>
    <row r="13" ht="22" customHeight="1">
      <c r="A13" s="16" t="inlineStr">
        <is>
          <t>Day 26-28</t>
        </is>
      </c>
      <c r="B13" s="16" t="inlineStr">
        <is>
          <t>Arithmetic</t>
        </is>
      </c>
      <c r="C13" s="17" t="inlineStr">
        <is>
          <t>TSD: Circular Tracks, Escalators, Boats</t>
        </is>
      </c>
      <c r="D13" s="18">
        <f>HYPERLINK("https://www.iquanta.in/free-cat-study-material", "Click to Learn")</f>
        <v/>
      </c>
      <c r="E13" s="18">
        <f>HYPERLINK("https://www.youtube.com/watch?v=5O6ZnVoqwl4", "Click to Learn")</f>
        <v/>
      </c>
      <c r="F13" s="18">
        <f>HYPERLINK("https://cracku.in/cat-question-bank", "Click to Learn")</f>
        <v/>
      </c>
    </row>
    <row r="14" ht="22" customHeight="1">
      <c r="A14" s="13" t="inlineStr">
        <is>
          <t>Day 29-32</t>
        </is>
      </c>
      <c r="B14" s="13" t="inlineStr">
        <is>
          <t>Algebra</t>
        </is>
      </c>
      <c r="C14" s="14" t="inlineStr">
        <is>
          <t>Linear Equations &amp; Word Problems</t>
        </is>
      </c>
      <c r="D14" s="15">
        <f>HYPERLINK("https://cracku.in/free-cat-preparation", "Click to Learn")</f>
        <v/>
      </c>
      <c r="E14" s="15">
        <f>HYPERLINK("https://www.youtube.com/watch?v=5O6ZnVoqwl4", "Click to Learn")</f>
        <v/>
      </c>
      <c r="F14" s="15">
        <f>HYPERLINK("https://cracku.in/cat-question-bank", "Click to Learn")</f>
        <v/>
      </c>
    </row>
    <row r="15" ht="22" customHeight="1">
      <c r="A15" s="16" t="inlineStr">
        <is>
          <t>Day 33-36</t>
        </is>
      </c>
      <c r="B15" s="16" t="inlineStr">
        <is>
          <t>Algebra</t>
        </is>
      </c>
      <c r="C15" s="17" t="inlineStr">
        <is>
          <t>Quadratic Equations &amp; Roots</t>
        </is>
      </c>
      <c r="D15" s="18">
        <f>HYPERLINK("https://www.iquanta.in/free-cat-study-material", "Click to Learn")</f>
        <v/>
      </c>
      <c r="E15" s="18">
        <f>HYPERLINK("https://www.youtube.com/watch?v=5O6ZnVoqwl4", "Click to Learn")</f>
        <v/>
      </c>
      <c r="F15" s="18">
        <f>HYPERLINK("https://cracku.in/cat-question-bank", "Click to Learn")</f>
        <v/>
      </c>
    </row>
    <row r="16" ht="22" customHeight="1">
      <c r="A16" s="13" t="inlineStr">
        <is>
          <t>Day 37-40</t>
        </is>
      </c>
      <c r="B16" s="13" t="inlineStr">
        <is>
          <t>Algebra</t>
        </is>
      </c>
      <c r="C16" s="14" t="inlineStr">
        <is>
          <t>Higher Degree Polynomials &amp; Inequalities</t>
        </is>
      </c>
      <c r="D16" s="15">
        <f>HYPERLINK("https://cracku.in/free-cat-preparation", "Click to Learn")</f>
        <v/>
      </c>
      <c r="E16" s="15">
        <f>HYPERLINK("https://www.youtube.com/watch?v=5O6ZnVoqwl4", "Click to Learn")</f>
        <v/>
      </c>
      <c r="F16" s="15">
        <f>HYPERLINK("https://cracku.in/cat-question-bank", "Click to Learn")</f>
        <v/>
      </c>
    </row>
    <row r="17" ht="22" customHeight="1">
      <c r="A17" s="16" t="inlineStr">
        <is>
          <t>Day 41-44</t>
        </is>
      </c>
      <c r="B17" s="16" t="inlineStr">
        <is>
          <t>Algebra</t>
        </is>
      </c>
      <c r="C17" s="17" t="inlineStr">
        <is>
          <t>Logarithms, Functions &amp; Graphs</t>
        </is>
      </c>
      <c r="D17" s="18">
        <f>HYPERLINK("https://www.iquanta.in/free-cat-study-material", "Click to Learn")</f>
        <v/>
      </c>
      <c r="E17" s="18">
        <f>HYPERLINK("https://www.youtube.com/watch?v=5O6ZnVoqwl4", "Click to Learn")</f>
        <v/>
      </c>
      <c r="F17" s="18">
        <f>HYPERLINK("https://cracku.in/cat-question-bank", "Click to Learn")</f>
        <v/>
      </c>
    </row>
    <row r="18" ht="22" customHeight="1">
      <c r="A18" s="13" t="inlineStr">
        <is>
          <t>Day 45-48</t>
        </is>
      </c>
      <c r="B18" s="13" t="inlineStr">
        <is>
          <t>Geometry</t>
        </is>
      </c>
      <c r="C18" s="14" t="inlineStr">
        <is>
          <t>Lines, Angles, and Triangles Properties</t>
        </is>
      </c>
      <c r="D18" s="15">
        <f>HYPERLINK("https://cracku.in/free-cat-preparation", "Click to Learn")</f>
        <v/>
      </c>
      <c r="E18" s="15">
        <f>HYPERLINK("https://www.youtube.com/watch?v=5O6ZnVoqwl4", "Click to Learn")</f>
        <v/>
      </c>
      <c r="F18" s="15">
        <f>HYPERLINK("https://cracku.in/cat-question-bank", "Click to Learn")</f>
        <v/>
      </c>
    </row>
    <row r="19" ht="22" customHeight="1">
      <c r="A19" s="16" t="inlineStr">
        <is>
          <t>Day 49-52</t>
        </is>
      </c>
      <c r="B19" s="16" t="inlineStr">
        <is>
          <t>Geometry</t>
        </is>
      </c>
      <c r="C19" s="17" t="inlineStr">
        <is>
          <t>Polygons, Circles, and Mensuration 2D/3D</t>
        </is>
      </c>
      <c r="D19" s="18">
        <f>HYPERLINK("https://www.iquanta.in/free-cat-study-material", "Click to Learn")</f>
        <v/>
      </c>
      <c r="E19" s="18">
        <f>HYPERLINK("https://www.youtube.com/watch?v=5O6ZnVoqwl4", "Click to Learn")</f>
        <v/>
      </c>
      <c r="F19" s="18">
        <f>HYPERLINK("https://cracku.in/cat-question-bank", "Click to Learn")</f>
        <v/>
      </c>
    </row>
    <row r="20" ht="22" customHeight="1">
      <c r="A20" s="13" t="inlineStr">
        <is>
          <t>Day 53-56</t>
        </is>
      </c>
      <c r="B20" s="13" t="inlineStr">
        <is>
          <t>Number System</t>
        </is>
      </c>
      <c r="C20" s="14" t="inlineStr">
        <is>
          <t>Factors, Divisibility, Remainders &amp; LCM/HCF</t>
        </is>
      </c>
      <c r="D20" s="15">
        <f>HYPERLINK("https://cracku.in/free-cat-preparation", "Click to Learn")</f>
        <v/>
      </c>
      <c r="E20" s="15">
        <f>HYPERLINK("https://www.youtube.com/watch?v=5O6ZnVoqwl4", "Click to Learn")</f>
        <v/>
      </c>
      <c r="F20" s="15">
        <f>HYPERLINK("https://cracku.in/cat-question-bank", "Click to Learn")</f>
        <v/>
      </c>
    </row>
    <row r="21" ht="22" customHeight="1">
      <c r="A21" s="16" t="inlineStr">
        <is>
          <t>Day 57-60</t>
        </is>
      </c>
      <c r="B21" s="16" t="inlineStr">
        <is>
          <t>Modern Math</t>
        </is>
      </c>
      <c r="C21" s="17" t="inlineStr">
        <is>
          <t>Permutations, Combinations &amp; Probability</t>
        </is>
      </c>
      <c r="D21" s="18">
        <f>HYPERLINK("https://www.iquanta.in/free-cat-study-material", "Click to Learn")</f>
        <v/>
      </c>
      <c r="E21" s="18">
        <f>HYPERLINK("https://www.youtube.com/watch?v=5O6ZnVoqwl4", "Click to Learn")</f>
        <v/>
      </c>
      <c r="F21" s="18">
        <f>HYPERLINK("https://cracku.in/cat-question-bank", "Click to Learn")</f>
        <v/>
      </c>
    </row>
  </sheetData>
  <autoFilter ref="A3:F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7" customWidth="1" min="1" max="1"/>
    <col width="22" customWidth="1" min="2" max="2"/>
    <col width="46" customWidth="1" min="3" max="3"/>
    <col width="98" customWidth="1" min="4" max="4"/>
    <col width="107" customWidth="1" min="5" max="5"/>
    <col width="70" customWidth="1" min="6" max="6"/>
  </cols>
  <sheetData>
    <row r="1" ht="30" customHeight="1">
      <c r="A1" s="1" t="inlineStr">
        <is>
          <t>CAT Day-by-Day Detailed Plan: DILR</t>
        </is>
      </c>
    </row>
    <row r="2"/>
    <row r="3" ht="26" customHeight="1">
      <c r="A3" s="12" t="inlineStr">
        <is>
          <t>Day</t>
        </is>
      </c>
      <c r="B3" s="12" t="inlineStr">
        <is>
          <t>Topic Category</t>
        </is>
      </c>
      <c r="C3" s="12" t="inlineStr">
        <is>
          <t>Specific Set Type</t>
        </is>
      </c>
      <c r="D3" s="12" t="inlineStr">
        <is>
          <t>Concept Learning Link (Free)</t>
        </is>
      </c>
      <c r="E3" s="12" t="inlineStr">
        <is>
          <t>YouTube Video Link</t>
        </is>
      </c>
      <c r="F3" s="12" t="inlineStr">
        <is>
          <t>Sample Question Solving Link</t>
        </is>
      </c>
    </row>
    <row r="4" ht="22" customHeight="1">
      <c r="A4" s="13" t="inlineStr">
        <is>
          <t>Day 1-3</t>
        </is>
      </c>
      <c r="B4" s="13" t="inlineStr">
        <is>
          <t>Data Interpretation</t>
        </is>
      </c>
      <c r="C4" s="14" t="inlineStr">
        <is>
          <t>Tables &amp; Data Formatting Basics</t>
        </is>
      </c>
      <c r="D4" s="15">
        <f>HYPERLINK("https://cracku.in/free-cat-preparation", "Click to Learn")</f>
        <v/>
      </c>
      <c r="E4" s="15">
        <f>HYPERLINK("https://www.youtube.com/playlist?list=PLG4bwc5fquzmPJEZor60ZPhVmbvO46pZ7", "Click to Learn")</f>
        <v/>
      </c>
      <c r="F4" s="15">
        <f>HYPERLINK("https://cracku.in/cat-question-bank", "Click to Learn")</f>
        <v/>
      </c>
    </row>
    <row r="5" ht="22" customHeight="1">
      <c r="A5" s="16" t="inlineStr">
        <is>
          <t>Day 4-6</t>
        </is>
      </c>
      <c r="B5" s="16" t="inlineStr">
        <is>
          <t>Data Interpretation</t>
        </is>
      </c>
      <c r="C5" s="17" t="inlineStr">
        <is>
          <t>Bar Charts, Line Graphs &amp; Pie Charts</t>
        </is>
      </c>
      <c r="D5" s="18">
        <f>HYPERLINK("https://www.iquanta.in/free-cat-study-material", "Click to Learn")</f>
        <v/>
      </c>
      <c r="E5" s="18">
        <f>HYPERLINK("https://www.youtube.com/playlist?list=PLG4bwc5fquzmPJEZor60ZPhVmbvO46pZ7", "Click to Learn")</f>
        <v/>
      </c>
      <c r="F5" s="18">
        <f>HYPERLINK("https://cracku.in/cat-question-bank", "Click to Learn")</f>
        <v/>
      </c>
    </row>
    <row r="6" ht="22" customHeight="1">
      <c r="A6" s="13" t="inlineStr">
        <is>
          <t>Day 7-10</t>
        </is>
      </c>
      <c r="B6" s="13" t="inlineStr">
        <is>
          <t>Data Interpretation</t>
        </is>
      </c>
      <c r="C6" s="14" t="inlineStr">
        <is>
          <t>Mixed &amp; Missing Data Tables</t>
        </is>
      </c>
      <c r="D6" s="15">
        <f>HYPERLINK("https://cracku.in/free-cat-preparation", "Click to Learn")</f>
        <v/>
      </c>
      <c r="E6" s="15">
        <f>HYPERLINK("https://www.youtube.com/playlist?list=PLG4bwc5fquzmPJEZor60ZPhVmbvO46pZ7", "Click to Learn")</f>
        <v/>
      </c>
      <c r="F6" s="15">
        <f>HYPERLINK("https://cracku.in/cat-question-bank", "Click to Learn")</f>
        <v/>
      </c>
    </row>
    <row r="7" ht="22" customHeight="1">
      <c r="A7" s="16" t="inlineStr">
        <is>
          <t>Day 11-14</t>
        </is>
      </c>
      <c r="B7" s="16" t="inlineStr">
        <is>
          <t>Logical Reasoning</t>
        </is>
      </c>
      <c r="C7" s="17" t="inlineStr">
        <is>
          <t>Linear &amp; Circular Arrangements</t>
        </is>
      </c>
      <c r="D7" s="18">
        <f>HYPERLINK("https://www.iquanta.in/free-cat-study-material", "Click to Learn")</f>
        <v/>
      </c>
      <c r="E7" s="18">
        <f>HYPERLINK("https://www.youtube.com/playlist?list=PLG4bwc5fquzmPJEZor60ZPhVmbvO46pZ7", "Click to Learn")</f>
        <v/>
      </c>
      <c r="F7" s="18">
        <f>HYPERLINK("https://cracku.in/cat-question-bank", "Click to Learn")</f>
        <v/>
      </c>
    </row>
    <row r="8" ht="22" customHeight="1">
      <c r="A8" s="13" t="inlineStr">
        <is>
          <t>Day 15-18</t>
        </is>
      </c>
      <c r="B8" s="13" t="inlineStr">
        <is>
          <t>Logical Reasoning</t>
        </is>
      </c>
      <c r="C8" s="14" t="inlineStr">
        <is>
          <t>Matrix / Grid Based Scheduling &amp; Selection</t>
        </is>
      </c>
      <c r="D8" s="15">
        <f>HYPERLINK("https://cracku.in/free-cat-preparation", "Click to Learn")</f>
        <v/>
      </c>
      <c r="E8" s="15">
        <f>HYPERLINK("https://www.youtube.com/playlist?list=PLG4bwc5fquzmPJEZor60ZPhVmbvO46pZ7", "Click to Learn")</f>
        <v/>
      </c>
      <c r="F8" s="15">
        <f>HYPERLINK("https://cracku.in/cat-question-bank", "Click to Learn")</f>
        <v/>
      </c>
    </row>
    <row r="9" ht="22" customHeight="1">
      <c r="A9" s="16" t="inlineStr">
        <is>
          <t>Day 19-23</t>
        </is>
      </c>
      <c r="B9" s="16" t="inlineStr">
        <is>
          <t>Logical Reasoning</t>
        </is>
      </c>
      <c r="C9" s="17" t="inlineStr">
        <is>
          <t>Venn Diagrams (2, 3, &amp; 4 Variables)</t>
        </is>
      </c>
      <c r="D9" s="18">
        <f>HYPERLINK("https://www.iquanta.in/free-cat-study-material", "Click to Learn")</f>
        <v/>
      </c>
      <c r="E9" s="18">
        <f>HYPERLINK("https://www.youtube.com/playlist?list=PLG4bwc5fquzmPJEZor60ZPhVmbvO46pZ7", "Click to Learn")</f>
        <v/>
      </c>
      <c r="F9" s="18">
        <f>HYPERLINK("https://cracku.in/cat-question-bank", "Click to Learn")</f>
        <v/>
      </c>
    </row>
    <row r="10" ht="22" customHeight="1">
      <c r="A10" s="13" t="inlineStr">
        <is>
          <t>Day 24-28</t>
        </is>
      </c>
      <c r="B10" s="13" t="inlineStr">
        <is>
          <t>Logical Reasoning</t>
        </is>
      </c>
      <c r="C10" s="14" t="inlineStr">
        <is>
          <t>Games &amp; Tournaments (Knockout, Round Robin)</t>
        </is>
      </c>
      <c r="D10" s="15">
        <f>HYPERLINK("https://cracku.in/free-cat-preparation", "Click to Learn")</f>
        <v/>
      </c>
      <c r="E10" s="15">
        <f>HYPERLINK("https://www.youtube.com/playlist?list=PLG4bwc5fquzmPJEZor60ZPhVmbvO46pZ7", "Click to Learn")</f>
        <v/>
      </c>
      <c r="F10" s="15">
        <f>HYPERLINK("https://cracku.in/cat-question-bank", "Click to Learn")</f>
        <v/>
      </c>
    </row>
    <row r="11" ht="22" customHeight="1">
      <c r="A11" s="16" t="inlineStr">
        <is>
          <t>Day 29-33</t>
        </is>
      </c>
      <c r="B11" s="16" t="inlineStr">
        <is>
          <t>Logical Reasoning</t>
        </is>
      </c>
      <c r="C11" s="17" t="inlineStr">
        <is>
          <t>Routes &amp; Networks, Binary Logic</t>
        </is>
      </c>
      <c r="D11" s="18">
        <f>HYPERLINK("https://www.iquanta.in/free-cat-study-material", "Click to Learn")</f>
        <v/>
      </c>
      <c r="E11" s="18">
        <f>HYPERLINK("https://www.youtube.com/playlist?list=PLG4bwc5fquzmPJEZor60ZPhVmbvO46pZ7", "Click to Learn")</f>
        <v/>
      </c>
      <c r="F11" s="18">
        <f>HYPERLINK("https://cracku.in/cat-question-bank", "Click to Learn")</f>
        <v/>
      </c>
    </row>
    <row r="12" ht="22" customHeight="1">
      <c r="A12" s="13" t="inlineStr">
        <is>
          <t>Day 34-37</t>
        </is>
      </c>
      <c r="B12" s="13" t="inlineStr">
        <is>
          <t>Logical Reasoning</t>
        </is>
      </c>
      <c r="C12" s="14" t="inlineStr">
        <is>
          <t>Cubes, Dice &amp; Coding-Decoding Frameworks</t>
        </is>
      </c>
      <c r="D12" s="15">
        <f>HYPERLINK("https://cracku.in/free-cat-preparation", "Click to Learn")</f>
        <v/>
      </c>
      <c r="E12" s="15">
        <f>HYPERLINK("https://www.youtube.com/playlist?list=PLG4bwc5fquzmPJEZor60ZPhVmbvO46pZ7", "Click to Learn")</f>
        <v/>
      </c>
      <c r="F12" s="15">
        <f>HYPERLINK("https://cracku.in/cat-question-bank", "Click to Learn")</f>
        <v/>
      </c>
    </row>
    <row r="13" ht="22" customHeight="1">
      <c r="A13" s="16" t="inlineStr">
        <is>
          <t>Day 38-40</t>
        </is>
      </c>
      <c r="B13" s="16" t="inlineStr">
        <is>
          <t>Integrated DILR</t>
        </is>
      </c>
      <c r="C13" s="17" t="inlineStr">
        <is>
          <t>CAT Previous Year Complex Multi-sets</t>
        </is>
      </c>
      <c r="D13" s="18">
        <f>HYPERLINK("https://catking.in/blog/Best-Free-CAT-Preparation-Material-2026", "Click to Learn")</f>
        <v/>
      </c>
      <c r="E13" s="18">
        <f>HYPERLINK("https://www.youtube.com/playlist?list=PLG4bwc5fquzmPJEZor60ZPhVmbvO46pZ7", "Click to Learn")</f>
        <v/>
      </c>
      <c r="F13" s="18">
        <f>HYPERLINK("https://cracku.in/cat-question-bank", "Click to Learn")</f>
        <v/>
      </c>
    </row>
  </sheetData>
  <autoFilter ref="A3:F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7" customWidth="1" min="1" max="1"/>
    <col width="24" customWidth="1" min="2" max="2"/>
    <col width="50" customWidth="1" min="3" max="3"/>
    <col width="81" customWidth="1" min="4" max="4"/>
    <col width="65" customWidth="1" min="5" max="5"/>
    <col width="70" customWidth="1" min="6" max="6"/>
  </cols>
  <sheetData>
    <row r="1" ht="30" customHeight="1">
      <c r="A1" s="1" t="inlineStr">
        <is>
          <t>CAT Day-by-Day Detailed Plan: VARC</t>
        </is>
      </c>
    </row>
    <row r="2"/>
    <row r="3" ht="26" customHeight="1">
      <c r="A3" s="12" t="inlineStr">
        <is>
          <t>Day</t>
        </is>
      </c>
      <c r="B3" s="12" t="inlineStr">
        <is>
          <t>Topic Category</t>
        </is>
      </c>
      <c r="C3" s="12" t="inlineStr">
        <is>
          <t>Target Activity / Concept</t>
        </is>
      </c>
      <c r="D3" s="12" t="inlineStr">
        <is>
          <t>Concept Learning Link (Free)</t>
        </is>
      </c>
      <c r="E3" s="12" t="inlineStr">
        <is>
          <t>YouTube Video Link</t>
        </is>
      </c>
      <c r="F3" s="12" t="inlineStr">
        <is>
          <t>Sample Question Solving Link</t>
        </is>
      </c>
    </row>
    <row r="4" ht="22" customHeight="1">
      <c r="A4" s="13" t="inlineStr">
        <is>
          <t>Day 1-4</t>
        </is>
      </c>
      <c r="B4" s="13" t="inlineStr">
        <is>
          <t>Reading Comprehension</t>
        </is>
      </c>
      <c r="C4" s="14" t="inlineStr">
        <is>
          <t>Speed Reading &amp; Central Idea Identification</t>
        </is>
      </c>
      <c r="D4" s="15">
        <f>HYPERLINK("https://cracku.in/free-cat-preparation", "Click to Learn")</f>
        <v/>
      </c>
      <c r="E4" s="15">
        <f>HYPERLINK("https://www.youtube.com/@rodha", "Click to Learn")</f>
        <v/>
      </c>
      <c r="F4" s="15">
        <f>HYPERLINK("https://cracku.in/cat-question-bank", "Click to Learn")</f>
        <v/>
      </c>
    </row>
    <row r="5" ht="22" customHeight="1">
      <c r="A5" s="16" t="inlineStr">
        <is>
          <t>Day 5-8</t>
        </is>
      </c>
      <c r="B5" s="16" t="inlineStr">
        <is>
          <t>Reading Comprehension</t>
        </is>
      </c>
      <c r="C5" s="17" t="inlineStr">
        <is>
          <t>Inference-Based &amp; Author's Tone Questions</t>
        </is>
      </c>
      <c r="D5" s="18">
        <f>HYPERLINK("https://www.iquanta.in/free-cat-study-material", "Click to Learn")</f>
        <v/>
      </c>
      <c r="E5" s="18">
        <f>HYPERLINK("https://www.youtube.com/@rodha", "Click to Learn")</f>
        <v/>
      </c>
      <c r="F5" s="18">
        <f>HYPERLINK("https://cracku.in/cat-question-bank", "Click to Learn")</f>
        <v/>
      </c>
    </row>
    <row r="6" ht="22" customHeight="1">
      <c r="A6" s="13" t="inlineStr">
        <is>
          <t>Day 9-12</t>
        </is>
      </c>
      <c r="B6" s="13" t="inlineStr">
        <is>
          <t>Reading Comprehension</t>
        </is>
      </c>
      <c r="C6" s="14" t="inlineStr">
        <is>
          <t>Fact-Based &amp; Direct Detail Questions</t>
        </is>
      </c>
      <c r="D6" s="15">
        <f>HYPERLINK("https://cracku.in/free-cat-preparation", "Click to Learn")</f>
        <v/>
      </c>
      <c r="E6" s="15">
        <f>HYPERLINK("https://www.youtube.com/@rodha", "Click to Learn")</f>
        <v/>
      </c>
      <c r="F6" s="15">
        <f>HYPERLINK("https://cracku.in/cat-question-bank", "Click to Learn")</f>
        <v/>
      </c>
    </row>
    <row r="7" ht="22" customHeight="1">
      <c r="A7" s="16" t="inlineStr">
        <is>
          <t>Day 13-16</t>
        </is>
      </c>
      <c r="B7" s="16" t="inlineStr">
        <is>
          <t>Reading Comprehension</t>
        </is>
      </c>
      <c r="C7" s="17" t="inlineStr">
        <is>
          <t>Genre-specific practice (Philosophy, Economics)</t>
        </is>
      </c>
      <c r="D7" s="18">
        <f>HYPERLINK("https://www.iquanta.in/free-cat-study-material", "Click to Learn")</f>
        <v/>
      </c>
      <c r="E7" s="18">
        <f>HYPERLINK("https://www.youtube.com/@rodha", "Click to Learn")</f>
        <v/>
      </c>
      <c r="F7" s="18">
        <f>HYPERLINK("https://cracku.in/cat-question-bank", "Click to Learn")</f>
        <v/>
      </c>
    </row>
    <row r="8" ht="22" customHeight="1">
      <c r="A8" s="13" t="inlineStr">
        <is>
          <t>Day 17-20</t>
        </is>
      </c>
      <c r="B8" s="13" t="inlineStr">
        <is>
          <t>Verbal Ability</t>
        </is>
      </c>
      <c r="C8" s="14" t="inlineStr">
        <is>
          <t>Para Jumbles: Finding Mandatory Pairs</t>
        </is>
      </c>
      <c r="D8" s="15">
        <f>HYPERLINK("https://cracku.in/free-cat-preparation", "Click to Learn")</f>
        <v/>
      </c>
      <c r="E8" s="15">
        <f>HYPERLINK("https://www.youtube.com/@rodha", "Click to Learn")</f>
        <v/>
      </c>
      <c r="F8" s="15">
        <f>HYPERLINK("https://cracku.in/cat-question-bank", "Click to Learn")</f>
        <v/>
      </c>
    </row>
    <row r="9" ht="22" customHeight="1">
      <c r="A9" s="16" t="inlineStr">
        <is>
          <t>Day 21-24</t>
        </is>
      </c>
      <c r="B9" s="16" t="inlineStr">
        <is>
          <t>Verbal Ability</t>
        </is>
      </c>
      <c r="C9" s="17" t="inlineStr">
        <is>
          <t>Para Summary: Eliminating Distractors</t>
        </is>
      </c>
      <c r="D9" s="18">
        <f>HYPERLINK("https://www.iquanta.in/free-cat-study-material", "Click to Learn")</f>
        <v/>
      </c>
      <c r="E9" s="18">
        <f>HYPERLINK("https://www.youtube.com/@rodha", "Click to Learn")</f>
        <v/>
      </c>
      <c r="F9" s="18">
        <f>HYPERLINK("https://cracku.in/cat-question-bank", "Click to Learn")</f>
        <v/>
      </c>
    </row>
    <row r="10" ht="22" customHeight="1">
      <c r="A10" s="13" t="inlineStr">
        <is>
          <t>Day 25-27</t>
        </is>
      </c>
      <c r="B10" s="13" t="inlineStr">
        <is>
          <t>Verbal Ability</t>
        </is>
      </c>
      <c r="C10" s="14" t="inlineStr">
        <is>
          <t>Odd One Out / Paragraph Exclusion</t>
        </is>
      </c>
      <c r="D10" s="15">
        <f>HYPERLINK("https://cracku.in/free-cat-preparation", "Click to Learn")</f>
        <v/>
      </c>
      <c r="E10" s="15">
        <f>HYPERLINK("https://www.youtube.com/@rodha", "Click to Learn")</f>
        <v/>
      </c>
      <c r="F10" s="15">
        <f>HYPERLINK("https://cracku.in/cat-question-bank", "Click to Learn")</f>
        <v/>
      </c>
    </row>
    <row r="11" ht="22" customHeight="1">
      <c r="A11" s="16" t="inlineStr">
        <is>
          <t>Day 28-30</t>
        </is>
      </c>
      <c r="B11" s="16" t="inlineStr">
        <is>
          <t>Verbal Ability</t>
        </is>
      </c>
      <c r="C11" s="17" t="inlineStr">
        <is>
          <t>Sentence Completion &amp; Insertion Problems</t>
        </is>
      </c>
      <c r="D11" s="18">
        <f>HYPERLINK("https://www.iquanta.in/free-cat-study-material", "Click to Learn")</f>
        <v/>
      </c>
      <c r="E11" s="18">
        <f>HYPERLINK("https://www.youtube.com/@rodha", "Click to Learn")</f>
        <v/>
      </c>
      <c r="F11" s="18">
        <f>HYPERLINK("https://cracku.in/cat-question-bank", "Click to Learn")</f>
        <v/>
      </c>
    </row>
  </sheetData>
  <autoFilter ref="A3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2026-06-24T06:36:40Z</dcterms:created>
  <dcterms:modified xmlns:dcterms="http://purl.org/dc/terms/" xmlns:xsi="http://www.w3.org/2001/XMLSchema-instance" xsi:type="dcterms:W3CDTF">2026-06-24T06:36:40Z</dcterms:modified>
</cp:coreProperties>
</file>